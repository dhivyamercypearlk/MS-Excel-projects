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8_{C8C98E8B-6BC0-456A-8B1E-A584AAA5B815}" xr6:coauthVersionLast="47" xr6:coauthVersionMax="47" xr10:uidLastSave="{00000000-0000-0000-0000-000000000000}"/>
  <bookViews>
    <workbookView xWindow="-90" yWindow="-90" windowWidth="19380" windowHeight="11580" tabRatio="869" activeTab="4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5" sheetId="26" r:id="rId6"/>
    <sheet name="106" sheetId="2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6" l="1"/>
  <c r="C15" i="26"/>
  <c r="C14" i="26"/>
  <c r="C7" i="26"/>
  <c r="B7" i="26"/>
  <c r="A7" i="26"/>
  <c r="B4" i="26"/>
  <c r="B2" i="26"/>
  <c r="C16" i="25"/>
  <c r="C15" i="25"/>
  <c r="C14" i="25"/>
  <c r="C7" i="25"/>
  <c r="B7" i="25"/>
  <c r="A7" i="25"/>
  <c r="B4" i="25"/>
  <c r="B2" i="25"/>
  <c r="C16" i="24"/>
  <c r="C15" i="24"/>
  <c r="C14" i="24"/>
  <c r="C7" i="24"/>
  <c r="B7" i="24"/>
  <c r="A7" i="24"/>
  <c r="B4" i="24"/>
  <c r="B2" i="24"/>
  <c r="A8" i="23"/>
  <c r="F8" i="23"/>
  <c r="G8" i="23"/>
  <c r="H8" i="23"/>
  <c r="J2" i="23" s="1"/>
  <c r="A7" i="23"/>
  <c r="F7" i="23"/>
  <c r="G7" i="23"/>
  <c r="H7" i="23" s="1"/>
  <c r="A6" i="23"/>
  <c r="F6" i="23"/>
  <c r="G6" i="23" s="1"/>
  <c r="A5" i="23"/>
  <c r="F5" i="23"/>
  <c r="G5" i="23" s="1"/>
  <c r="H5" i="23" s="1"/>
  <c r="A4" i="23"/>
  <c r="F4" i="23"/>
  <c r="G4" i="23"/>
  <c r="G3" i="23"/>
  <c r="F2" i="23"/>
  <c r="F3" i="23"/>
  <c r="H6" i="23" l="1"/>
  <c r="H4" i="23"/>
  <c r="H3" i="23"/>
  <c r="G2" i="23"/>
  <c r="H2" i="23" s="1"/>
  <c r="B1" i="1" l="1"/>
</calcChain>
</file>

<file path=xl/sharedStrings.xml><?xml version="1.0" encoding="utf-8"?>
<sst xmlns="http://schemas.openxmlformats.org/spreadsheetml/2006/main" count="93" uniqueCount="59">
  <si>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</si>
  <si>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</si>
  <si>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</si>
  <si>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</si>
  <si>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</si>
  <si>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</si>
  <si>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</si>
  <si>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</si>
  <si>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</si>
  <si>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</si>
  <si>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</si>
  <si>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</si>
  <si>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</si>
  <si>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</si>
  <si>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</si>
  <si>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</si>
  <si>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</si>
  <si>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</si>
  <si>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</si>
  <si>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</si>
  <si>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</si>
  <si>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</si>
  <si>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</si>
  <si>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</si>
  <si>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</si>
  <si>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</si>
  <si>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</si>
  <si>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</si>
  <si>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</si>
  <si>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</si>
  <si>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</si>
  <si>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</si>
  <si>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</si>
  <si>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</si>
  <si>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</si>
  <si>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</si>
  <si>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</si>
  <si>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</si>
  <si>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</si>
  <si>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</si>
  <si>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</si>
  <si>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</si>
  <si>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</si>
  <si>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</si>
  <si>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</si>
  <si>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</si>
  <si>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</si>
  <si>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</si>
  <si>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</si>
  <si>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</si>
  <si>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</si>
  <si>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</si>
  <si>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</si>
  <si>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</si>
  <si>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</si>
  <si>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</si>
  <si>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</si>
  <si>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</si>
  <si>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Rod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</si>
</sst>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2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6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3" fillId="0" borderId="10" xfId="0" applyFont="1" applyBorder="1"/>
    <xf numFmtId="164" fontId="15" fillId="0" borderId="12" xfId="1" applyFont="1" applyBorder="1"/>
    <xf numFmtId="14" fontId="0" fillId="0" borderId="0" xfId="0" applyNumberFormat="1"/>
    <xf numFmtId="164" fontId="0" fillId="0" borderId="10" xfId="1" applyFont="1" applyBorder="1"/>
    <xf numFmtId="0" fontId="17" fillId="0" borderId="0" xfId="2" applyFont="1"/>
    <xf numFmtId="0" fontId="17" fillId="0" borderId="3" xfId="2" applyFont="1" applyBorder="1"/>
    <xf numFmtId="0" fontId="21" fillId="0" borderId="0" xfId="3" applyFont="1"/>
    <xf numFmtId="0" fontId="17" fillId="0" borderId="0" xfId="0" applyFont="1"/>
    <xf numFmtId="0" fontId="22" fillId="0" borderId="0" xfId="4" applyFont="1" applyBorder="1"/>
    <xf numFmtId="0" fontId="23" fillId="0" borderId="8" xfId="2" applyFont="1" applyBorder="1"/>
    <xf numFmtId="0" fontId="24" fillId="0" borderId="0" xfId="2" applyFont="1"/>
    <xf numFmtId="0" fontId="17" fillId="0" borderId="0" xfId="0" applyFont="1" applyAlignment="1">
      <alignment wrapText="1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 indent="5"/>
    </xf>
    <xf numFmtId="0" fontId="25" fillId="5" borderId="2" xfId="0" applyFont="1" applyFill="1" applyBorder="1"/>
    <xf numFmtId="14" fontId="17" fillId="0" borderId="2" xfId="0" applyNumberFormat="1" applyFont="1" applyBorder="1"/>
    <xf numFmtId="0" fontId="17" fillId="0" borderId="1" xfId="0" applyFont="1" applyBorder="1"/>
    <xf numFmtId="0" fontId="17" fillId="0" borderId="1" xfId="1" applyNumberFormat="1" applyFont="1" applyBorder="1"/>
    <xf numFmtId="164" fontId="17" fillId="0" borderId="1" xfId="1" applyFont="1" applyBorder="1"/>
    <xf numFmtId="14" fontId="17" fillId="0" borderId="1" xfId="0" applyNumberFormat="1" applyFont="1" applyBorder="1"/>
    <xf numFmtId="0" fontId="17" fillId="0" borderId="0" xfId="0" applyFont="1" applyAlignment="1">
      <alignment vertical="center"/>
    </xf>
    <xf numFmtId="0" fontId="13" fillId="4" borderId="0" xfId="0" applyFont="1" applyFill="1"/>
    <xf numFmtId="164" fontId="15" fillId="0" borderId="11" xfId="1" applyFont="1" applyBorder="1"/>
    <xf numFmtId="0" fontId="13" fillId="5" borderId="11" xfId="0" applyFont="1" applyFill="1" applyBorder="1"/>
    <xf numFmtId="0" fontId="12" fillId="5" borderId="11" xfId="0" applyFont="1" applyFill="1" applyBorder="1"/>
    <xf numFmtId="0" fontId="13" fillId="5" borderId="14" xfId="0" applyFont="1" applyFill="1" applyBorder="1"/>
    <xf numFmtId="14" fontId="15" fillId="7" borderId="11" xfId="0" applyNumberFormat="1" applyFont="1" applyFill="1" applyBorder="1"/>
    <xf numFmtId="0" fontId="15" fillId="7" borderId="11" xfId="0" applyFont="1" applyFill="1" applyBorder="1"/>
    <xf numFmtId="164" fontId="15" fillId="7" borderId="11" xfId="1" applyFont="1" applyFill="1" applyBorder="1"/>
    <xf numFmtId="0" fontId="11" fillId="5" borderId="13" xfId="0" applyFont="1" applyFill="1" applyBorder="1"/>
    <xf numFmtId="0" fontId="15" fillId="7" borderId="13" xfId="0" applyFont="1" applyFill="1" applyBorder="1"/>
    <xf numFmtId="0" fontId="15" fillId="0" borderId="13" xfId="0" applyFont="1" applyBorder="1"/>
    <xf numFmtId="14" fontId="15" fillId="0" borderId="11" xfId="0" applyNumberFormat="1" applyFont="1" applyBorder="1"/>
    <xf numFmtId="0" fontId="15" fillId="0" borderId="11" xfId="0" applyFont="1" applyBorder="1"/>
    <xf numFmtId="14" fontId="14" fillId="0" borderId="2" xfId="0" applyNumberFormat="1" applyFont="1" applyBorder="1"/>
    <xf numFmtId="164" fontId="0" fillId="7" borderId="13" xfId="1" applyFont="1" applyFill="1" applyBorder="1"/>
    <xf numFmtId="0" fontId="18" fillId="0" borderId="3" xfId="2" applyFont="1" applyBorder="1" applyAlignment="1">
      <alignment horizontal="center"/>
    </xf>
    <xf numFmtId="0" fontId="18" fillId="0" borderId="0" xfId="2" applyFont="1" applyAlignment="1">
      <alignment horizontal="center"/>
    </xf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6" borderId="5" xfId="5" applyFont="1" applyFill="1" applyBorder="1" applyAlignment="1">
      <alignment horizontal="center"/>
    </xf>
    <xf numFmtId="0" fontId="20" fillId="6" borderId="9" xfId="5" applyFont="1" applyFill="1" applyBorder="1" applyAlignment="1">
      <alignment horizontal="center"/>
    </xf>
    <xf numFmtId="0" fontId="20" fillId="6" borderId="6" xfId="5" applyFont="1" applyFill="1" applyBorder="1" applyAlignment="1">
      <alignment horizontal="center"/>
    </xf>
    <xf numFmtId="0" fontId="17" fillId="0" borderId="0" xfId="0" applyFont="1" applyAlignment="1">
      <alignment vertical="top" wrapText="1"/>
    </xf>
    <xf numFmtId="0" fontId="1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5</xdr:row>
      <xdr:rowOff>190500</xdr:rowOff>
    </xdr:from>
    <xdr:to>
      <xdr:col>7</xdr:col>
      <xdr:colOff>231775</xdr:colOff>
      <xdr:row>8</xdr:row>
      <xdr:rowOff>41275</xdr:rowOff>
    </xdr:to>
    <xdr:sp macro="[0]!Transfer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4ABDA9-2C51-9948-1F0D-B7DC949BE9E8}"/>
            </a:ext>
          </a:extLst>
        </xdr:cNvPr>
        <xdr:cNvSpPr/>
      </xdr:nvSpPr>
      <xdr:spPr>
        <a:xfrm>
          <a:off x="5019675" y="1479550"/>
          <a:ext cx="1908175" cy="6508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Transfer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98425</xdr:colOff>
      <xdr:row>4</xdr:row>
      <xdr:rowOff>31750</xdr:rowOff>
    </xdr:from>
    <xdr:to>
      <xdr:col>10</xdr:col>
      <xdr:colOff>177800</xdr:colOff>
      <xdr:row>6</xdr:row>
      <xdr:rowOff>6350</xdr:rowOff>
    </xdr:to>
    <xdr:sp macro="[0]!Issue_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A0196F-8673-51D7-10C3-ADA2091B52F9}"/>
            </a:ext>
          </a:extLst>
        </xdr:cNvPr>
        <xdr:cNvSpPr/>
      </xdr:nvSpPr>
      <xdr:spPr>
        <a:xfrm>
          <a:off x="11106150" y="1098550"/>
          <a:ext cx="1463675" cy="508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Issue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EF02FD-6B5E-437B-B49D-CC8564B336F8}" name="Invoices" displayName="Invoices" ref="A1:H8" totalsRowShown="0" headerRowDxfId="5" tableBorderDxfId="4">
  <autoFilter ref="A1:H8" xr:uid="{B2EF02FD-6B5E-437B-B49D-CC8564B336F8}"/>
  <tableColumns count="8">
    <tableColumn id="1" xr3:uid="{D2CBEA78-B45B-4555-AF9A-4CDD6FD6EEC7}" name="Invoice Number"/>
    <tableColumn id="2" xr3:uid="{D7C3B67B-3D99-4AD8-995E-CC14DE32CCF3}" name="Date"/>
    <tableColumn id="3" xr3:uid="{8610C680-3DF8-49CF-B4FF-2C5A2B8B5FB6}" name="Customer Name"/>
    <tableColumn id="4" xr3:uid="{DD0D2829-F809-46FD-ADE1-E38E510BA223}" name="Hours of Service Provided"/>
    <tableColumn id="5" xr3:uid="{32B977CE-B1BE-4288-96F9-2E130399E0B0}" name="Fee per hour"/>
    <tableColumn id="6" xr3:uid="{069C16F5-83F1-4CEC-A608-E9A708A56BD0}" name="Total">
      <calculatedColumnFormula>Table!$D2*Table!$E2</calculatedColumnFormula>
    </tableColumn>
    <tableColumn id="7" xr3:uid="{E981CD86-BA96-495F-83A1-97EBF4EA5C91}" name="Discount">
      <calculatedColumnFormula>IF(Table!$D2&gt;10,Table!$F2*5%,0)</calculatedColumnFormula>
    </tableColumn>
    <tableColumn id="8" xr3:uid="{E2ABC6D8-D542-4583-AEE0-A5AA729CB3D9}" name="Total Amount Due">
      <calculatedColumnFormula>Table!$F2-Table!$G2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8EC38B-3E0D-49D3-A0BF-59C316829968}" name="Table7" displayName="Table7" ref="J1:J2" totalsRowShown="0" headerRowDxfId="3" dataDxfId="2" tableBorderDxfId="1" dataCellStyle="Currency">
  <autoFilter ref="J1:J2" xr:uid="{F98EC38B-3E0D-49D3-A0BF-59C316829968}"/>
  <tableColumns count="1">
    <tableColumn id="1" xr3:uid="{7BEAE27A-8E14-4F09-AA4B-D18E3E92D239}" name="Total Revenue" dataDxfId="0" dataCellStyle="Currency">
      <calculatedColumnFormula>SUM(Table!$H$2:$H$8)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opLeftCell="A22" zoomScaleNormal="100" workbookViewId="0">
      <selection activeCell="H6" sqref="H6:N6"/>
    </sheetView>
  </sheetViews>
  <sheetFormatPr defaultColWidth="9.86328125" defaultRowHeight="14.75"/>
  <cols>
    <col min="1" max="1" width="9.86328125" style="23"/>
    <col min="2" max="2" width="12.08984375" style="23" customWidth="1"/>
    <col min="3" max="3" width="15.453125" style="23" bestFit="1" customWidth="1"/>
    <col min="4" max="4" width="23.76953125" style="23" customWidth="1"/>
    <col min="5" max="5" width="12.6796875" style="23" customWidth="1"/>
    <col min="6" max="7" width="9.86328125" style="23"/>
    <col min="8" max="11" width="12.31640625" style="23" customWidth="1"/>
    <col min="12" max="12" width="39.54296875" style="23" customWidth="1"/>
    <col min="13" max="15" width="12.31640625" style="23" customWidth="1"/>
    <col min="16" max="16384" width="9.86328125" style="23"/>
  </cols>
  <sheetData>
    <row r="1" spans="1:15">
      <c r="G1" s="24"/>
    </row>
    <row r="2" spans="1:15" ht="35">
      <c r="G2" s="55" t="s">
        <v>13</v>
      </c>
      <c r="H2" s="56"/>
      <c r="I2" s="56"/>
      <c r="J2" s="56"/>
      <c r="K2" s="56"/>
      <c r="L2" s="56"/>
      <c r="M2" s="56"/>
      <c r="N2" s="56"/>
      <c r="O2" s="56"/>
    </row>
    <row r="3" spans="1:15">
      <c r="G3" s="24"/>
    </row>
    <row r="4" spans="1:15" ht="30">
      <c r="G4" s="57" t="s">
        <v>14</v>
      </c>
      <c r="H4" s="58"/>
      <c r="I4" s="58"/>
      <c r="J4" s="58"/>
      <c r="K4" s="58"/>
      <c r="L4" s="58"/>
      <c r="M4" s="58"/>
      <c r="N4" s="58"/>
      <c r="O4" s="58"/>
    </row>
    <row r="5" spans="1:15" ht="15.5" thickBot="1">
      <c r="G5" s="24"/>
    </row>
    <row r="6" spans="1:15" ht="32" thickBot="1">
      <c r="G6" s="24"/>
      <c r="H6" s="59" t="s">
        <v>12</v>
      </c>
      <c r="I6" s="60"/>
      <c r="J6" s="60"/>
      <c r="K6" s="60"/>
      <c r="L6" s="60"/>
      <c r="M6" s="60"/>
      <c r="N6" s="61"/>
      <c r="O6" s="25"/>
    </row>
    <row r="7" spans="1:15" s="26" customFormat="1"/>
    <row r="8" spans="1:15" s="26" customFormat="1"/>
    <row r="9" spans="1:15" s="26" customFormat="1"/>
    <row r="10" spans="1:15" ht="18.75" thickBot="1">
      <c r="A10" s="27" t="s">
        <v>15</v>
      </c>
      <c r="B10" s="27"/>
      <c r="C10" s="27"/>
      <c r="D10" s="27"/>
      <c r="E10" s="27"/>
      <c r="F10" s="27"/>
      <c r="G10" s="25"/>
      <c r="H10" s="26"/>
      <c r="I10" s="26"/>
      <c r="J10" s="26"/>
      <c r="K10" s="26"/>
      <c r="L10" s="26"/>
      <c r="M10" s="26"/>
      <c r="N10" s="26"/>
      <c r="O10" s="26"/>
    </row>
    <row r="11" spans="1:15" ht="12.65" customHeight="1" thickTop="1">
      <c r="A11" s="28"/>
      <c r="B11" s="28"/>
      <c r="C11" s="28"/>
      <c r="D11" s="28"/>
      <c r="E11" s="28"/>
      <c r="F11" s="28"/>
      <c r="G11" s="28"/>
      <c r="H11" s="26"/>
      <c r="I11" s="26"/>
      <c r="J11" s="26"/>
      <c r="K11" s="26"/>
      <c r="L11" s="26"/>
      <c r="M11" s="26"/>
      <c r="N11" s="26"/>
      <c r="O11" s="26"/>
    </row>
    <row r="12" spans="1:15" ht="63.65" customHeight="1">
      <c r="A12" s="62" t="s">
        <v>55</v>
      </c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</row>
    <row r="13" spans="1:15" s="26" customFormat="1" ht="9" customHeight="1"/>
    <row r="14" spans="1:15" s="26" customFormat="1" ht="5.4" customHeight="1"/>
    <row r="15" spans="1:15" ht="18.75" thickBot="1">
      <c r="A15" s="27" t="s">
        <v>11</v>
      </c>
      <c r="B15" s="27"/>
      <c r="C15" s="27"/>
      <c r="D15" s="27"/>
      <c r="E15" s="27"/>
      <c r="F15" s="27"/>
      <c r="G15" s="25"/>
      <c r="H15" s="29"/>
      <c r="L15" s="30"/>
    </row>
    <row r="16" spans="1:15" ht="10.5" customHeight="1" thickTop="1">
      <c r="A16" s="28"/>
      <c r="B16" s="28"/>
      <c r="C16" s="28"/>
      <c r="D16" s="28"/>
      <c r="E16" s="28"/>
      <c r="F16" s="28"/>
      <c r="G16" s="28"/>
      <c r="H16" s="29"/>
    </row>
    <row r="17" spans="1:2" s="26" customFormat="1">
      <c r="A17" s="26" t="s">
        <v>39</v>
      </c>
    </row>
    <row r="18" spans="1:2" s="26" customFormat="1"/>
    <row r="19" spans="1:2" s="26" customFormat="1">
      <c r="A19" s="26" t="s">
        <v>42</v>
      </c>
    </row>
    <row r="20" spans="1:2" s="26" customFormat="1">
      <c r="A20" s="23" t="s">
        <v>41</v>
      </c>
    </row>
    <row r="21" spans="1:2" s="26" customFormat="1">
      <c r="A21" s="26" t="s">
        <v>40</v>
      </c>
    </row>
    <row r="22" spans="1:2" s="26" customFormat="1"/>
    <row r="23" spans="1:2" s="26" customFormat="1"/>
    <row r="24" spans="1:2" s="26" customFormat="1">
      <c r="A24" s="26" t="s">
        <v>43</v>
      </c>
    </row>
    <row r="25" spans="1:2" s="26" customFormat="1"/>
    <row r="26" spans="1:2">
      <c r="A26" s="23">
        <v>1</v>
      </c>
      <c r="B26" s="31" t="s">
        <v>57</v>
      </c>
    </row>
    <row r="27" spans="1:2">
      <c r="A27" s="23">
        <v>2</v>
      </c>
      <c r="B27" s="31" t="s">
        <v>45</v>
      </c>
    </row>
    <row r="28" spans="1:2">
      <c r="A28" s="23">
        <v>3</v>
      </c>
      <c r="B28" s="31" t="s">
        <v>56</v>
      </c>
    </row>
    <row r="29" spans="1:2">
      <c r="A29" s="23">
        <v>4</v>
      </c>
      <c r="B29" s="31" t="s">
        <v>48</v>
      </c>
    </row>
    <row r="30" spans="1:2">
      <c r="A30" s="23">
        <v>5</v>
      </c>
      <c r="B30" s="31" t="s">
        <v>54</v>
      </c>
    </row>
    <row r="31" spans="1:2">
      <c r="A31" s="23">
        <v>6</v>
      </c>
      <c r="B31" s="31" t="s">
        <v>46</v>
      </c>
    </row>
    <row r="32" spans="1:2">
      <c r="A32" s="23">
        <v>7</v>
      </c>
      <c r="B32" s="31" t="s">
        <v>47</v>
      </c>
    </row>
    <row r="33" spans="1:5">
      <c r="A33" s="23">
        <v>8</v>
      </c>
      <c r="B33" s="31" t="s">
        <v>53</v>
      </c>
    </row>
    <row r="34" spans="1:5">
      <c r="A34" s="23">
        <v>9</v>
      </c>
      <c r="B34" s="31" t="s">
        <v>49</v>
      </c>
    </row>
    <row r="35" spans="1:5">
      <c r="A35" s="23">
        <v>10</v>
      </c>
      <c r="B35" s="31" t="s">
        <v>50</v>
      </c>
    </row>
    <row r="36" spans="1:5">
      <c r="A36" s="32"/>
    </row>
    <row r="37" spans="1:5">
      <c r="A37" s="32"/>
      <c r="B37" s="33" t="s">
        <v>16</v>
      </c>
      <c r="C37" s="33" t="s">
        <v>17</v>
      </c>
      <c r="D37" s="33" t="s">
        <v>28</v>
      </c>
      <c r="E37" s="33" t="s">
        <v>29</v>
      </c>
    </row>
    <row r="38" spans="1:5">
      <c r="A38" s="32"/>
      <c r="B38" s="34">
        <v>42592</v>
      </c>
      <c r="C38" s="35" t="s">
        <v>34</v>
      </c>
      <c r="D38" s="36">
        <v>30</v>
      </c>
      <c r="E38" s="37">
        <v>55</v>
      </c>
    </row>
    <row r="39" spans="1:5">
      <c r="A39" s="32"/>
      <c r="B39" s="34">
        <v>42603</v>
      </c>
      <c r="C39" s="35" t="s">
        <v>35</v>
      </c>
      <c r="D39" s="36">
        <v>60</v>
      </c>
      <c r="E39" s="37">
        <v>52</v>
      </c>
    </row>
    <row r="40" spans="1:5">
      <c r="A40" s="32"/>
      <c r="B40" s="34">
        <v>42611</v>
      </c>
      <c r="C40" s="35" t="s">
        <v>36</v>
      </c>
      <c r="D40" s="36">
        <v>20</v>
      </c>
      <c r="E40" s="37">
        <v>54</v>
      </c>
    </row>
    <row r="41" spans="1:5">
      <c r="B41" s="38">
        <v>42614</v>
      </c>
      <c r="C41" s="35" t="s">
        <v>37</v>
      </c>
      <c r="D41" s="36">
        <v>9</v>
      </c>
      <c r="E41" s="37">
        <v>51</v>
      </c>
    </row>
    <row r="42" spans="1:5" s="26" customFormat="1"/>
    <row r="43" spans="1:5" s="26" customFormat="1">
      <c r="A43" s="26">
        <v>11</v>
      </c>
      <c r="B43" s="31" t="s">
        <v>51</v>
      </c>
    </row>
    <row r="44" spans="1:5" s="26" customFormat="1">
      <c r="A44" s="26">
        <v>12</v>
      </c>
      <c r="B44" s="31" t="s">
        <v>52</v>
      </c>
    </row>
    <row r="45" spans="1:5" s="26" customFormat="1"/>
    <row r="46" spans="1:5" s="26" customFormat="1">
      <c r="A46" s="26" t="s">
        <v>10</v>
      </c>
    </row>
    <row r="47" spans="1:5" s="26" customFormat="1"/>
    <row r="50" spans="1:1">
      <c r="A50" s="39"/>
    </row>
    <row r="51" spans="1:1">
      <c r="A51" s="32"/>
    </row>
    <row r="52" spans="1:1">
      <c r="A52" s="32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08984375" defaultRowHeight="14.75"/>
  <cols>
    <col min="1" max="1" width="29.54296875" style="2" bestFit="1" customWidth="1"/>
    <col min="2" max="2" width="23.08984375" style="2" bestFit="1" customWidth="1"/>
    <col min="3" max="6" width="9.08984375" style="2"/>
    <col min="7" max="7" width="10.86328125" style="2" customWidth="1"/>
    <col min="8" max="8" width="10.54296875" style="2" customWidth="1"/>
    <col min="9" max="16384" width="9.0898437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zoomScaleNormal="100" workbookViewId="0">
      <selection activeCell="H15" sqref="H15"/>
    </sheetView>
  </sheetViews>
  <sheetFormatPr defaultRowHeight="14.75"/>
  <cols>
    <col min="2" max="2" width="34.54296875" bestFit="1" customWidth="1"/>
    <col min="3" max="3" width="17.6796875" customWidth="1"/>
  </cols>
  <sheetData>
    <row r="2" spans="2:3" ht="36.25">
      <c r="B2" s="63" t="s">
        <v>38</v>
      </c>
      <c r="C2" s="63"/>
    </row>
    <row r="5" spans="2:3" ht="21">
      <c r="B5" s="13" t="s">
        <v>16</v>
      </c>
      <c r="C5" s="14"/>
    </row>
    <row r="6" spans="2:3" ht="21">
      <c r="B6" s="15"/>
      <c r="C6" s="15"/>
    </row>
    <row r="7" spans="2:3" ht="21">
      <c r="B7" s="13" t="s">
        <v>17</v>
      </c>
      <c r="C7" s="14"/>
    </row>
    <row r="8" spans="2:3" ht="21">
      <c r="B8" s="13" t="s">
        <v>28</v>
      </c>
      <c r="C8" s="16"/>
    </row>
    <row r="9" spans="2:3" ht="21">
      <c r="B9" s="13" t="s">
        <v>29</v>
      </c>
      <c r="C9" s="17"/>
    </row>
    <row r="10" spans="2:3">
      <c r="C10" s="18"/>
    </row>
    <row r="11" spans="2:3">
      <c r="C11" s="18"/>
    </row>
    <row r="12" spans="2:3">
      <c r="C12" s="18"/>
    </row>
    <row r="13" spans="2:3">
      <c r="C13" s="18"/>
    </row>
    <row r="14" spans="2:3">
      <c r="C14" s="18"/>
    </row>
    <row r="15" spans="2:3">
      <c r="C15" s="18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J18" sqref="J18"/>
    </sheetView>
  </sheetViews>
  <sheetFormatPr defaultRowHeight="14.75"/>
  <cols>
    <col min="1" max="1" width="17.04296875" customWidth="1"/>
    <col min="2" max="2" width="15.90625" customWidth="1"/>
    <col min="3" max="3" width="22.04296875" customWidth="1"/>
    <col min="4" max="4" width="24.08984375" bestFit="1" customWidth="1"/>
    <col min="5" max="5" width="17.76953125" customWidth="1"/>
    <col min="6" max="6" width="14.54296875" bestFit="1" customWidth="1"/>
    <col min="7" max="7" width="13.1328125" customWidth="1"/>
    <col min="8" max="8" width="24.31640625" bestFit="1" customWidth="1"/>
    <col min="10" max="10" width="19.81640625" customWidth="1"/>
  </cols>
  <sheetData>
    <row r="1" spans="1:10" ht="21">
      <c r="A1" s="48" t="s">
        <v>30</v>
      </c>
      <c r="B1" s="42" t="s">
        <v>16</v>
      </c>
      <c r="C1" s="42" t="s">
        <v>17</v>
      </c>
      <c r="D1" s="43" t="s">
        <v>28</v>
      </c>
      <c r="E1" s="42" t="s">
        <v>29</v>
      </c>
      <c r="F1" s="44" t="s">
        <v>21</v>
      </c>
      <c r="G1" s="44" t="s">
        <v>31</v>
      </c>
      <c r="H1" s="44" t="s">
        <v>32</v>
      </c>
      <c r="I1" s="19"/>
      <c r="J1" s="40" t="s">
        <v>33</v>
      </c>
    </row>
    <row r="2" spans="1:10" ht="18.5">
      <c r="A2" s="49">
        <v>100</v>
      </c>
      <c r="B2" s="45">
        <v>42583</v>
      </c>
      <c r="C2" s="46" t="s">
        <v>22</v>
      </c>
      <c r="D2" s="46">
        <v>20</v>
      </c>
      <c r="E2" s="47">
        <v>50</v>
      </c>
      <c r="F2" s="47">
        <f>Table!$D2*Table!$E2</f>
        <v>1000</v>
      </c>
      <c r="G2" s="47">
        <f>IF(Table!$D2&gt;10,Table!$F2*5%,0)</f>
        <v>50</v>
      </c>
      <c r="H2" s="47">
        <f>Table!$F2-Table!$G2</f>
        <v>950</v>
      </c>
      <c r="I2" s="20"/>
      <c r="J2" s="54">
        <f>SUM(Table!$H$2:$H$8)</f>
        <v>8419.5</v>
      </c>
    </row>
    <row r="3" spans="1:10" ht="18.5">
      <c r="A3" s="50">
        <v>101</v>
      </c>
      <c r="B3" s="51">
        <v>42584</v>
      </c>
      <c r="C3" s="52" t="s">
        <v>35</v>
      </c>
      <c r="D3" s="52">
        <v>8</v>
      </c>
      <c r="E3" s="41">
        <v>51</v>
      </c>
      <c r="F3" s="41">
        <f>Table!$D3*Table!$E3</f>
        <v>408</v>
      </c>
      <c r="G3" s="41">
        <f>IF(Table!$D3&gt;10,Table!$F3*5%,0)</f>
        <v>0</v>
      </c>
      <c r="H3" s="41">
        <f>Table!$F3-Table!$G3</f>
        <v>408</v>
      </c>
    </row>
    <row r="4" spans="1:10" ht="21">
      <c r="A4">
        <f>A3+1</f>
        <v>102</v>
      </c>
      <c r="B4" s="53">
        <v>42586</v>
      </c>
      <c r="C4" s="14" t="s">
        <v>58</v>
      </c>
      <c r="D4" s="16">
        <v>22</v>
      </c>
      <c r="E4" s="17">
        <v>50</v>
      </c>
      <c r="F4">
        <f>Table!$D4*Table!$E4</f>
        <v>1100</v>
      </c>
      <c r="G4">
        <f>IF(Table!$D4&gt;10,Table!$F4*5%,0)</f>
        <v>55</v>
      </c>
      <c r="H4">
        <f>Table!$F4-Table!$G4</f>
        <v>1045</v>
      </c>
    </row>
    <row r="5" spans="1:10" ht="21">
      <c r="A5">
        <f>A4+1</f>
        <v>103</v>
      </c>
      <c r="B5" s="53">
        <v>42592</v>
      </c>
      <c r="C5" s="14" t="s">
        <v>34</v>
      </c>
      <c r="D5" s="16">
        <v>30</v>
      </c>
      <c r="E5" s="17">
        <v>55</v>
      </c>
      <c r="F5">
        <f>Table!$D5*Table!$E5</f>
        <v>1650</v>
      </c>
      <c r="G5">
        <f>IF(Table!$D5&gt;10,Table!$F5*5%,0)</f>
        <v>82.5</v>
      </c>
      <c r="H5">
        <f>Table!$F5-Table!$G5</f>
        <v>1567.5</v>
      </c>
    </row>
    <row r="6" spans="1:10" ht="21">
      <c r="A6">
        <f>A5+1</f>
        <v>104</v>
      </c>
      <c r="B6" s="53">
        <v>42603</v>
      </c>
      <c r="C6" s="14" t="s">
        <v>35</v>
      </c>
      <c r="D6" s="16">
        <v>60</v>
      </c>
      <c r="E6" s="17">
        <v>52</v>
      </c>
      <c r="F6">
        <f>Table!$D6*Table!$E6</f>
        <v>3120</v>
      </c>
      <c r="G6">
        <f>IF(Table!$D6&gt;10,Table!$F6*5%,0)</f>
        <v>156</v>
      </c>
      <c r="H6">
        <f>Table!$F6-Table!$G6</f>
        <v>2964</v>
      </c>
    </row>
    <row r="7" spans="1:10" ht="21">
      <c r="A7">
        <f>A6+1</f>
        <v>105</v>
      </c>
      <c r="B7" s="53">
        <v>42611</v>
      </c>
      <c r="C7" s="14" t="s">
        <v>36</v>
      </c>
      <c r="D7" s="16">
        <v>20</v>
      </c>
      <c r="E7" s="17">
        <v>54</v>
      </c>
      <c r="F7">
        <f>Table!$D7*Table!$E7</f>
        <v>1080</v>
      </c>
      <c r="G7">
        <f>IF(Table!$D7&gt;10,Table!$F7*5%,0)</f>
        <v>54</v>
      </c>
      <c r="H7">
        <f>Table!$F7-Table!$G7</f>
        <v>1026</v>
      </c>
    </row>
    <row r="8" spans="1:10" ht="21">
      <c r="A8">
        <f>A7+1</f>
        <v>106</v>
      </c>
      <c r="B8" s="53">
        <v>42614</v>
      </c>
      <c r="C8" s="14" t="s">
        <v>37</v>
      </c>
      <c r="D8" s="16">
        <v>9</v>
      </c>
      <c r="E8" s="17">
        <v>51</v>
      </c>
      <c r="F8">
        <f>Table!$D8*Table!$E8</f>
        <v>459</v>
      </c>
      <c r="G8">
        <f>IF(Table!$D8&gt;10,Table!$F8*5%,0)</f>
        <v>0</v>
      </c>
      <c r="H8">
        <f>Table!$F8-Table!$G8</f>
        <v>459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tabSelected="1" workbookViewId="0">
      <selection activeCell="B3" sqref="B3"/>
    </sheetView>
  </sheetViews>
  <sheetFormatPr defaultRowHeight="14.75"/>
  <cols>
    <col min="1" max="3" width="18.86328125" customWidth="1"/>
  </cols>
  <sheetData>
    <row r="1" spans="1:3" ht="18.5">
      <c r="A1" s="8" t="s">
        <v>18</v>
      </c>
    </row>
    <row r="2" spans="1:3">
      <c r="A2" s="7" t="s">
        <v>27</v>
      </c>
      <c r="B2" t="str">
        <f>VLOOKUP($B$3,Invoices[],3,FALSE)</f>
        <v>Sami Pty Ltd</v>
      </c>
    </row>
    <row r="3" spans="1:3">
      <c r="A3" s="7" t="s">
        <v>23</v>
      </c>
      <c r="B3">
        <v>100</v>
      </c>
    </row>
    <row r="4" spans="1:3">
      <c r="A4" s="7" t="s">
        <v>24</v>
      </c>
      <c r="B4" s="21">
        <f>VLOOKUP($B$3,Invoices[],2,FALSE)</f>
        <v>42583</v>
      </c>
    </row>
    <row r="6" spans="1:3" ht="16">
      <c r="A6" s="12" t="s">
        <v>19</v>
      </c>
      <c r="B6" s="12" t="s">
        <v>20</v>
      </c>
      <c r="C6" s="12" t="s">
        <v>21</v>
      </c>
    </row>
    <row r="7" spans="1:3">
      <c r="A7" s="9">
        <f>VLOOKUP(B3,Invoices[],4,FALSE)</f>
        <v>20</v>
      </c>
      <c r="B7" s="9">
        <f>VLOOKUP($B$3,Invoices[],5,FALSE)</f>
        <v>50</v>
      </c>
      <c r="C7" s="22">
        <f>VLOOKUP($B$3,Invoices[],6,FALSE)</f>
        <v>1000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4" t="s">
        <v>25</v>
      </c>
      <c r="B14" s="64"/>
      <c r="C14" s="11">
        <f>VLOOKUP($B$3,Invoices[],6,FALSE)</f>
        <v>1000</v>
      </c>
    </row>
    <row r="15" spans="1:3">
      <c r="A15" s="65" t="s">
        <v>44</v>
      </c>
      <c r="B15" s="65"/>
      <c r="C15" s="11">
        <f>VLOOKUP($B$3,Invoices[],7,FALSE)</f>
        <v>50</v>
      </c>
    </row>
    <row r="16" spans="1:3">
      <c r="A16" s="64" t="s">
        <v>26</v>
      </c>
      <c r="B16" s="64"/>
      <c r="C16" s="11">
        <f>VLOOKUP($B$3,Invoices[],8,FALSE)</f>
        <v>950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AB2B-3B31-4A7F-A178-8FC81319CBB3}">
  <sheetPr codeName="Sheet7"/>
  <dimension ref="A1:C16"/>
  <sheetViews>
    <sheetView workbookViewId="0">
      <selection activeCell="B4" sqref="B4"/>
    </sheetView>
  </sheetViews>
  <sheetFormatPr defaultRowHeight="14.75"/>
  <cols>
    <col min="1" max="3" width="18.86328125" customWidth="1"/>
  </cols>
  <sheetData>
    <row r="1" spans="1:3" ht="18.5">
      <c r="A1" s="8" t="s">
        <v>18</v>
      </c>
    </row>
    <row r="2" spans="1:3">
      <c r="A2" s="7" t="s">
        <v>27</v>
      </c>
      <c r="B2" t="str">
        <f>VLOOKUP($B$3,Invoices[],3,FALSE)</f>
        <v>Siroos Pty Ltd</v>
      </c>
    </row>
    <row r="3" spans="1:3">
      <c r="A3" s="7" t="s">
        <v>23</v>
      </c>
      <c r="B3">
        <v>105</v>
      </c>
    </row>
    <row r="4" spans="1:3">
      <c r="A4" s="7" t="s">
        <v>24</v>
      </c>
      <c r="B4" s="21">
        <f>VLOOKUP($B$3,Invoices[],2,FALSE)</f>
        <v>42611</v>
      </c>
    </row>
    <row r="6" spans="1:3" ht="16">
      <c r="A6" s="12" t="s">
        <v>19</v>
      </c>
      <c r="B6" s="12" t="s">
        <v>20</v>
      </c>
      <c r="C6" s="12" t="s">
        <v>21</v>
      </c>
    </row>
    <row r="7" spans="1:3">
      <c r="A7" s="9">
        <f>VLOOKUP(B3,Invoices[],4,FALSE)</f>
        <v>20</v>
      </c>
      <c r="B7" s="9">
        <f>VLOOKUP($B$3,Invoices[],5,FALSE)</f>
        <v>54</v>
      </c>
      <c r="C7" s="22">
        <f>VLOOKUP($B$3,Invoices[],6,FALSE)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4" t="s">
        <v>25</v>
      </c>
      <c r="B14" s="64"/>
      <c r="C14" s="11">
        <f>VLOOKUP($B$3,Invoices[],6,FALSE)</f>
        <v>1080</v>
      </c>
    </row>
    <row r="15" spans="1:3">
      <c r="A15" s="65" t="s">
        <v>44</v>
      </c>
      <c r="B15" s="65"/>
      <c r="C15" s="11">
        <f>VLOOKUP($B$3,Invoices[],7,FALSE)</f>
        <v>54</v>
      </c>
    </row>
    <row r="16" spans="1:3">
      <c r="A16" s="64" t="s">
        <v>26</v>
      </c>
      <c r="B16" s="64"/>
      <c r="C16" s="11">
        <f>VLOOKUP($B$3,Invoices[],8,FALSE)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770B-10C7-43D4-BDB9-6B62B280F15B}">
  <sheetPr codeName="Sheet6"/>
  <dimension ref="A1:C16"/>
  <sheetViews>
    <sheetView workbookViewId="0">
      <selection activeCell="B4" sqref="B4"/>
    </sheetView>
  </sheetViews>
  <sheetFormatPr defaultRowHeight="14.75"/>
  <cols>
    <col min="1" max="3" width="18.86328125" customWidth="1"/>
  </cols>
  <sheetData>
    <row r="1" spans="1:3" ht="18.5">
      <c r="A1" s="8" t="s">
        <v>18</v>
      </c>
    </row>
    <row r="2" spans="1:3">
      <c r="A2" s="7" t="s">
        <v>27</v>
      </c>
      <c r="B2" t="str">
        <f>VLOOKUP($B$3,Invoices[],3,FALSE)</f>
        <v>Behrooz Pty Ltd</v>
      </c>
    </row>
    <row r="3" spans="1:3">
      <c r="A3" s="7" t="s">
        <v>23</v>
      </c>
      <c r="B3">
        <v>106</v>
      </c>
    </row>
    <row r="4" spans="1:3">
      <c r="A4" s="7" t="s">
        <v>24</v>
      </c>
      <c r="B4" s="21">
        <f>VLOOKUP($B$3,Invoices[],2,FALSE)</f>
        <v>42614</v>
      </c>
    </row>
    <row r="6" spans="1:3" ht="16">
      <c r="A6" s="12" t="s">
        <v>19</v>
      </c>
      <c r="B6" s="12" t="s">
        <v>20</v>
      </c>
      <c r="C6" s="12" t="s">
        <v>21</v>
      </c>
    </row>
    <row r="7" spans="1:3">
      <c r="A7" s="9">
        <f>VLOOKUP(B3,Invoices[],4,FALSE)</f>
        <v>9</v>
      </c>
      <c r="B7" s="9">
        <f>VLOOKUP($B$3,Invoices[],5,FALSE)</f>
        <v>51</v>
      </c>
      <c r="C7" s="22">
        <f>VLOOKUP($B$3,Invoices[],6,FALSE)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4" t="s">
        <v>25</v>
      </c>
      <c r="B14" s="64"/>
      <c r="C14" s="11">
        <f>VLOOKUP($B$3,Invoices[],6,FALSE)</f>
        <v>459</v>
      </c>
    </row>
    <row r="15" spans="1:3">
      <c r="A15" s="65" t="s">
        <v>44</v>
      </c>
      <c r="B15" s="65"/>
      <c r="C15" s="11">
        <f>VLOOKUP($B$3,Invoices[],7,FALSE)</f>
        <v>0</v>
      </c>
    </row>
    <row r="16" spans="1:3">
      <c r="A16" s="64" t="s">
        <v>26</v>
      </c>
      <c r="B16" s="64"/>
      <c r="C16" s="11">
        <f>VLOOKUP($B$3,Invoices[],8,FALSE)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 </vt:lpstr>
      <vt:lpstr>Instruction</vt:lpstr>
      <vt:lpstr>Data Entry</vt:lpstr>
      <vt:lpstr>Table</vt:lpstr>
      <vt:lpstr>Invoice Template</vt:lpstr>
      <vt:lpstr>105</vt:lpstr>
      <vt:lpstr>106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Deepak Samuel Kirubakaran</cp:lastModifiedBy>
  <dcterms:created xsi:type="dcterms:W3CDTF">2016-08-30T01:18:10Z</dcterms:created>
  <dcterms:modified xsi:type="dcterms:W3CDTF">2024-09-10T18:39:25Z</dcterms:modified>
</cp:coreProperties>
</file>